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<sst xmlns="http://schemas.openxmlformats.org/spreadsheetml/2006/main" count="89" uniqueCount="65">
  <si>
    <t>tank_id</t>
  </si>
  <si>
    <t>current_level</t>
  </si>
  <si>
    <t>oil_type</t>
  </si>
  <si>
    <t>inventory</t>
  </si>
  <si>
    <t>safe_tank_capacity</t>
  </si>
  <si>
    <t>maximum_tank_capacity</t>
  </si>
  <si>
    <t>tank_capacity_per_meter</t>
  </si>
  <si>
    <t>safe_tank_level</t>
  </si>
  <si>
    <t>maximum_tank_level</t>
  </si>
  <si>
    <t>T101</t>
  </si>
  <si>
    <t>SINGMA</t>
  </si>
  <si>
    <t>T102</t>
  </si>
  <si>
    <t>OMAN</t>
  </si>
  <si>
    <t>T103</t>
  </si>
  <si>
    <t>BITUMEN MIXTURE</t>
  </si>
  <si>
    <t>T104</t>
  </si>
  <si>
    <t>T105</t>
  </si>
  <si>
    <t>FUEL OIL</t>
  </si>
  <si>
    <t>T106</t>
  </si>
  <si>
    <t>MALYSIA HEAVY</t>
  </si>
  <si>
    <t>T107</t>
  </si>
  <si>
    <t>ESPO</t>
  </si>
  <si>
    <t>T108</t>
  </si>
  <si>
    <t>MURBAN/ESPO</t>
  </si>
  <si>
    <t>T201</t>
  </si>
  <si>
    <t>T202</t>
  </si>
  <si>
    <t>T203</t>
  </si>
  <si>
    <t>T204</t>
  </si>
  <si>
    <t>MURBAN</t>
  </si>
  <si>
    <t>T205</t>
  </si>
  <si>
    <t>MALAYSIA LIGHT</t>
  </si>
  <si>
    <t>T206</t>
  </si>
  <si>
    <t>燃料油</t>
  </si>
  <si>
    <t>T301</t>
  </si>
  <si>
    <t>T302</t>
  </si>
  <si>
    <t>KIMANIS HEAVY BLEND</t>
  </si>
  <si>
    <t>T303</t>
  </si>
  <si>
    <t>XIJIANG/ENPING</t>
  </si>
  <si>
    <t>T304</t>
  </si>
  <si>
    <t>HUNGO</t>
  </si>
  <si>
    <t>T305</t>
  </si>
  <si>
    <t>T306</t>
  </si>
  <si>
    <t>DJENO</t>
  </si>
  <si>
    <t>T307</t>
  </si>
  <si>
    <t>万华T201</t>
  </si>
  <si>
    <t>万华T202</t>
  </si>
  <si>
    <t>TUPI/锦州251</t>
  </si>
  <si>
    <t>万华T203</t>
  </si>
  <si>
    <t>万华T204</t>
  </si>
  <si>
    <t>万华T205</t>
  </si>
  <si>
    <t>万华T206</t>
  </si>
  <si>
    <t>万华T301</t>
  </si>
  <si>
    <t>万华T303</t>
  </si>
  <si>
    <t>万华T304</t>
  </si>
  <si>
    <t>万华T401</t>
  </si>
  <si>
    <t>万华T402</t>
  </si>
  <si>
    <t>万华T403</t>
  </si>
  <si>
    <t>万华T404</t>
  </si>
  <si>
    <t>万华T501</t>
  </si>
  <si>
    <t>万华T502</t>
  </si>
  <si>
    <t>万华T503</t>
  </si>
  <si>
    <t>万华T504</t>
  </si>
  <si>
    <t>LENGHUN BLEND/SHARJAH HEAVY</t>
  </si>
  <si>
    <t>万华T505</t>
  </si>
  <si>
    <t>万华T506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</si>
</sst>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0_ "/>
    <numFmt numFmtId="178" formatCode="0.0_ "/>
    <numFmt numFmtId="179" formatCode="0_ "/>
    <numFmt numFmtId="180" formatCode="0.00_ "/>
  </numFmts>
  <fonts count="27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/>
    <xf numFmtId="0" fontId="5" fillId="0" borderId="0">
      <alignment vertical="center"/>
    </xf>
    <xf numFmtId="0" fontId="26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1" xfId="49" applyFont="1" applyBorder="1" applyAlignment="1">
      <alignment horizontal="center" vertical="center" wrapText="1"/>
    </xf>
    <xf numFmtId="176" fontId="1" fillId="0" borderId="1" xfId="49" applyNumberFormat="1" applyFont="1" applyBorder="1" applyAlignment="1">
      <alignment horizontal="center" vertical="center" wrapText="1"/>
    </xf>
    <xf numFmtId="0" fontId="2" fillId="2" borderId="1" xfId="50" applyFont="1" applyFill="1" applyBorder="1" applyAlignment="1">
      <alignment horizontal="center" vertical="center"/>
    </xf>
    <xf numFmtId="177" fontId="2" fillId="0" borderId="1" xfId="50" applyNumberFormat="1" applyFont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176" fontId="2" fillId="0" borderId="1" xfId="50" applyNumberFormat="1" applyFont="1" applyBorder="1" applyAlignment="1">
      <alignment horizontal="center" vertical="center"/>
    </xf>
    <xf numFmtId="0" fontId="2" fillId="2" borderId="1" xfId="50" applyFont="1" applyFill="1" applyBorder="1" applyAlignment="1" applyProtection="1">
      <alignment horizontal="center" vertical="center"/>
      <protection hidden="1"/>
    </xf>
    <xf numFmtId="177" fontId="4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Fill="1" applyBorder="1" applyAlignment="1" applyProtection="1">
      <alignment horizontal="center" vertical="center" wrapText="1"/>
      <protection hidden="1"/>
    </xf>
    <xf numFmtId="0" fontId="5" fillId="3" borderId="1" xfId="50" applyFill="1" applyBorder="1" applyAlignment="1" applyProtection="1">
      <alignment horizontal="center" vertical="center"/>
      <protection hidden="1"/>
    </xf>
    <xf numFmtId="177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Fill="1" applyBorder="1" applyAlignment="1" applyProtection="1">
      <alignment horizontal="center" vertical="center" wrapText="1"/>
      <protection hidden="1"/>
    </xf>
    <xf numFmtId="0" fontId="5" fillId="2" borderId="1" xfId="50" applyFill="1" applyBorder="1" applyAlignment="1" applyProtection="1">
      <alignment horizontal="center" vertical="center"/>
      <protection hidden="1"/>
    </xf>
    <xf numFmtId="0" fontId="5" fillId="0" borderId="1" xfId="0" applyFont="1" applyFill="1" applyBorder="1" applyAlignment="1">
      <alignment horizontal="center" vertical="center" wrapText="1"/>
    </xf>
    <xf numFmtId="0" fontId="2" fillId="3" borderId="1" xfId="50" applyFont="1" applyFill="1" applyBorder="1" applyAlignment="1" applyProtection="1">
      <alignment horizontal="center" vertical="center"/>
      <protection hidden="1"/>
    </xf>
    <xf numFmtId="177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50" applyBorder="1" applyAlignment="1" applyProtection="1">
      <alignment horizontal="center" vertical="center"/>
      <protection hidden="1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177" fontId="3" fillId="0" borderId="1" xfId="0" applyNumberFormat="1" applyFont="1" applyFill="1" applyBorder="1" applyAlignment="1" applyProtection="1">
      <alignment horizontal="center" vertical="center"/>
      <protection locked="0"/>
    </xf>
    <xf numFmtId="177" fontId="3" fillId="0" borderId="1" xfId="51" applyNumberFormat="1" applyFont="1" applyFill="1" applyBorder="1" applyAlignment="1" applyProtection="1">
      <alignment horizontal="center" vertical="center"/>
      <protection locked="0"/>
    </xf>
    <xf numFmtId="0" fontId="3" fillId="0" borderId="1" xfId="23" applyFont="1" applyFill="1" applyBorder="1" applyAlignment="1" applyProtection="1">
      <alignment horizontal="center" vertical="center"/>
      <protection hidden="1"/>
    </xf>
    <xf numFmtId="177" fontId="3" fillId="0" borderId="1" xfId="23" applyNumberFormat="1" applyFont="1" applyFill="1" applyBorder="1" applyAlignment="1" applyProtection="1">
      <alignment horizontal="center" vertical="center"/>
      <protection locked="0"/>
    </xf>
    <xf numFmtId="177" fontId="5" fillId="0" borderId="1" xfId="50" applyNumberFormat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177" fontId="3" fillId="2" borderId="1" xfId="51" applyNumberFormat="1" applyFont="1" applyFill="1" applyBorder="1" applyAlignment="1" applyProtection="1">
      <alignment horizontal="center" vertical="center"/>
      <protection locked="0"/>
    </xf>
    <xf numFmtId="177" fontId="3" fillId="3" borderId="1" xfId="51" applyNumberFormat="1" applyFont="1" applyFill="1" applyBorder="1" applyAlignment="1" applyProtection="1">
      <alignment horizontal="center" vertical="center"/>
      <protection locked="0"/>
    </xf>
    <xf numFmtId="0" fontId="2" fillId="0" borderId="1" xfId="50" applyFont="1" applyBorder="1" applyAlignment="1" applyProtection="1">
      <alignment horizontal="center" vertical="center"/>
      <protection hidden="1"/>
    </xf>
    <xf numFmtId="177" fontId="3" fillId="2" borderId="1" xfId="0" applyNumberFormat="1" applyFont="1" applyFill="1" applyBorder="1" applyAlignment="1" applyProtection="1">
      <alignment horizontal="center" vertical="center"/>
      <protection locked="0"/>
    </xf>
    <xf numFmtId="177" fontId="4" fillId="2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hidden="1"/>
    </xf>
    <xf numFmtId="178" fontId="1" fillId="0" borderId="1" xfId="49" applyNumberFormat="1" applyFont="1" applyBorder="1" applyAlignment="1">
      <alignment horizontal="center" vertical="center" wrapText="1"/>
    </xf>
    <xf numFmtId="179" fontId="5" fillId="0" borderId="1" xfId="49" applyNumberFormat="1" applyFont="1" applyBorder="1" applyAlignment="1">
      <alignment horizontal="center" vertical="center" wrapText="1"/>
    </xf>
    <xf numFmtId="180" fontId="5" fillId="0" borderId="1" xfId="49" applyNumberFormat="1" applyFont="1" applyBorder="1" applyAlignment="1">
      <alignment horizontal="center" vertical="center" wrapText="1"/>
    </xf>
    <xf numFmtId="180" fontId="5" fillId="2" borderId="1" xfId="49" applyNumberFormat="1" applyFont="1" applyFill="1" applyBorder="1" applyAlignment="1">
      <alignment horizontal="center" vertical="center" wrapText="1"/>
    </xf>
    <xf numFmtId="179" fontId="5" fillId="2" borderId="1" xfId="49" applyNumberFormat="1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适中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workbookViewId="0">
      <selection activeCell="G1" sqref="G1"/>
    </sheetView>
  </sheetViews>
  <sheetFormatPr defaultColWidth="9.23076923076923" defaultRowHeight="16.8"/>
  <sheetData>
    <row r="1" ht="53" spans="1: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2" t="s">
        <v>6</v>
      </c>
      <c r="H1" s="2" t="s">
        <v>7</v>
      </c>
      <c r="I1" s="2" t="s">
        <v>8</v>
      </c>
    </row>
    <row r="2" ht="36" spans="1:9">
      <c r="A2" s="3" t="s">
        <v>9</v>
      </c>
      <c r="B2" s="4">
        <v>4.647</v>
      </c>
      <c r="C2" s="5" t="s">
        <v>10</v>
      </c>
      <c r="D2" s="6">
        <v>9605.574</v>
      </c>
      <c r="E2" s="33">
        <f t="shared" ref="E2:E41" si="0">(H2-B2)*G2</f>
        <v>34203.078</v>
      </c>
      <c r="F2" s="33">
        <f t="shared" ref="F2:F41" si="1">(I2-B2)*G2</f>
        <v>35757.378</v>
      </c>
      <c r="G2" s="33">
        <v>2826</v>
      </c>
      <c r="H2" s="34">
        <v>16.75</v>
      </c>
      <c r="I2" s="34">
        <v>17.3</v>
      </c>
    </row>
    <row r="3" ht="36" spans="1:9">
      <c r="A3" s="7" t="s">
        <v>11</v>
      </c>
      <c r="B3" s="8">
        <v>2.518</v>
      </c>
      <c r="C3" s="9" t="s">
        <v>12</v>
      </c>
      <c r="D3" s="10">
        <v>7059.348</v>
      </c>
      <c r="E3" s="33">
        <f t="shared" si="0"/>
        <v>40276.152</v>
      </c>
      <c r="F3" s="33">
        <f t="shared" si="1"/>
        <v>41773.932</v>
      </c>
      <c r="G3" s="33">
        <v>2826</v>
      </c>
      <c r="H3" s="34">
        <v>16.77</v>
      </c>
      <c r="I3" s="34">
        <v>17.3</v>
      </c>
    </row>
    <row r="4" ht="71" spans="1:9">
      <c r="A4" s="11" t="s">
        <v>13</v>
      </c>
      <c r="B4" s="12">
        <v>16.399</v>
      </c>
      <c r="C4" s="5" t="s">
        <v>14</v>
      </c>
      <c r="D4" s="13">
        <v>994.752000000001</v>
      </c>
      <c r="E4" s="33">
        <f t="shared" si="0"/>
        <v>1048.446</v>
      </c>
      <c r="F4" s="33">
        <f t="shared" si="1"/>
        <v>2546.226</v>
      </c>
      <c r="G4" s="33">
        <v>2826</v>
      </c>
      <c r="H4" s="34">
        <v>16.77</v>
      </c>
      <c r="I4" s="34">
        <v>17.3</v>
      </c>
    </row>
    <row r="5" ht="36" spans="1:9">
      <c r="A5" s="14" t="s">
        <v>15</v>
      </c>
      <c r="B5" s="12">
        <v>4.612</v>
      </c>
      <c r="C5" s="5" t="s">
        <v>10</v>
      </c>
      <c r="D5" s="13">
        <v>1031.49</v>
      </c>
      <c r="E5" s="33">
        <f t="shared" si="0"/>
        <v>34358.508</v>
      </c>
      <c r="F5" s="33">
        <f t="shared" si="1"/>
        <v>35856.288</v>
      </c>
      <c r="G5" s="33">
        <v>2826</v>
      </c>
      <c r="H5" s="34">
        <v>16.77</v>
      </c>
      <c r="I5" s="34">
        <v>17.3</v>
      </c>
    </row>
    <row r="6" ht="36" spans="1:9">
      <c r="A6" s="11" t="s">
        <v>16</v>
      </c>
      <c r="B6" s="12">
        <v>5.97</v>
      </c>
      <c r="C6" s="15" t="s">
        <v>17</v>
      </c>
      <c r="D6" s="13">
        <v>960.84</v>
      </c>
      <c r="E6" s="33">
        <f t="shared" si="0"/>
        <v>30464.28</v>
      </c>
      <c r="F6" s="33">
        <f t="shared" si="1"/>
        <v>32018.58</v>
      </c>
      <c r="G6" s="33">
        <v>2826</v>
      </c>
      <c r="H6" s="34">
        <v>16.75</v>
      </c>
      <c r="I6" s="34">
        <v>17.3</v>
      </c>
    </row>
    <row r="7" ht="53" spans="1:9">
      <c r="A7" s="16" t="s">
        <v>18</v>
      </c>
      <c r="B7" s="17">
        <v>16.043</v>
      </c>
      <c r="C7" s="5" t="s">
        <v>19</v>
      </c>
      <c r="D7" s="10">
        <v>3764.232</v>
      </c>
      <c r="E7" s="33">
        <f t="shared" si="0"/>
        <v>2054.502</v>
      </c>
      <c r="F7" s="33">
        <f t="shared" si="1"/>
        <v>3552.282</v>
      </c>
      <c r="G7" s="33">
        <v>2826</v>
      </c>
      <c r="H7" s="34">
        <v>16.77</v>
      </c>
      <c r="I7" s="34">
        <v>17.3</v>
      </c>
    </row>
    <row r="8" ht="18" spans="1:9">
      <c r="A8" s="18" t="s">
        <v>20</v>
      </c>
      <c r="B8" s="12">
        <v>14.633</v>
      </c>
      <c r="C8" s="5" t="s">
        <v>21</v>
      </c>
      <c r="D8" s="13">
        <v>19926.126</v>
      </c>
      <c r="E8" s="33">
        <f t="shared" si="0"/>
        <v>6039.162</v>
      </c>
      <c r="F8" s="33">
        <f t="shared" si="1"/>
        <v>7536.942</v>
      </c>
      <c r="G8" s="33">
        <v>2826</v>
      </c>
      <c r="H8" s="34">
        <v>16.77</v>
      </c>
      <c r="I8" s="34">
        <v>17.3</v>
      </c>
    </row>
    <row r="9" ht="88" spans="1:9">
      <c r="A9" s="14" t="s">
        <v>22</v>
      </c>
      <c r="B9" s="12">
        <v>7.783</v>
      </c>
      <c r="C9" s="5" t="s">
        <v>23</v>
      </c>
      <c r="D9" s="13">
        <v>1540.16999999999</v>
      </c>
      <c r="E9" s="33">
        <f t="shared" si="0"/>
        <v>25397.262</v>
      </c>
      <c r="F9" s="33">
        <f t="shared" si="1"/>
        <v>26895.042</v>
      </c>
      <c r="G9" s="33">
        <v>2826</v>
      </c>
      <c r="H9" s="34">
        <v>16.77</v>
      </c>
      <c r="I9" s="34">
        <v>17.3</v>
      </c>
    </row>
    <row r="10" ht="36" spans="1:9">
      <c r="A10" s="11" t="s">
        <v>24</v>
      </c>
      <c r="B10" s="12">
        <v>19.099</v>
      </c>
      <c r="C10" s="19" t="s">
        <v>17</v>
      </c>
      <c r="D10" s="13">
        <v>33964.14</v>
      </c>
      <c r="E10" s="33">
        <f t="shared" si="0"/>
        <v>1514.02999999999</v>
      </c>
      <c r="F10" s="33">
        <f t="shared" si="1"/>
        <v>3023.03</v>
      </c>
      <c r="G10" s="33">
        <v>5030</v>
      </c>
      <c r="H10" s="34">
        <v>19.4</v>
      </c>
      <c r="I10" s="34">
        <v>19.7</v>
      </c>
    </row>
    <row r="11" ht="36" spans="1:9">
      <c r="A11" s="11" t="s">
        <v>25</v>
      </c>
      <c r="B11" s="12">
        <v>18.845</v>
      </c>
      <c r="C11" s="19" t="s">
        <v>17</v>
      </c>
      <c r="D11" s="13">
        <v>945.263999999994</v>
      </c>
      <c r="E11" s="33">
        <f t="shared" si="0"/>
        <v>2791.65</v>
      </c>
      <c r="F11" s="33">
        <f t="shared" si="1"/>
        <v>4300.65</v>
      </c>
      <c r="G11" s="33">
        <v>5030</v>
      </c>
      <c r="H11" s="34">
        <v>19.4</v>
      </c>
      <c r="I11" s="34">
        <v>19.7</v>
      </c>
    </row>
    <row r="12" ht="71" spans="1:9">
      <c r="A12" s="11" t="s">
        <v>26</v>
      </c>
      <c r="B12" s="20">
        <v>13.861</v>
      </c>
      <c r="C12" s="5" t="s">
        <v>14</v>
      </c>
      <c r="D12" s="13">
        <v>1518.456</v>
      </c>
      <c r="E12" s="33">
        <f t="shared" si="0"/>
        <v>27861.17</v>
      </c>
      <c r="F12" s="33">
        <f t="shared" si="1"/>
        <v>29370.17</v>
      </c>
      <c r="G12" s="33">
        <v>5030</v>
      </c>
      <c r="H12" s="34">
        <v>19.4</v>
      </c>
      <c r="I12" s="34">
        <v>19.7</v>
      </c>
    </row>
    <row r="13" ht="36" spans="1:9">
      <c r="A13" s="18" t="s">
        <v>27</v>
      </c>
      <c r="B13" s="20">
        <v>4.372</v>
      </c>
      <c r="C13" s="5" t="s">
        <v>28</v>
      </c>
      <c r="D13" s="13">
        <v>13047.66</v>
      </c>
      <c r="E13" s="33">
        <f t="shared" si="0"/>
        <v>75590.84</v>
      </c>
      <c r="F13" s="33">
        <f t="shared" si="1"/>
        <v>77099.84</v>
      </c>
      <c r="G13" s="33">
        <v>5030</v>
      </c>
      <c r="H13" s="35">
        <v>19.4</v>
      </c>
      <c r="I13" s="35">
        <v>19.7</v>
      </c>
    </row>
    <row r="14" ht="53" spans="1:9">
      <c r="A14" s="16" t="s">
        <v>29</v>
      </c>
      <c r="B14" s="8">
        <v>19.09</v>
      </c>
      <c r="C14" s="5" t="s">
        <v>30</v>
      </c>
      <c r="D14" s="10">
        <v>90428.58</v>
      </c>
      <c r="E14" s="33">
        <f t="shared" si="0"/>
        <v>1559.29999999999</v>
      </c>
      <c r="F14" s="33">
        <f t="shared" si="1"/>
        <v>3068.3</v>
      </c>
      <c r="G14" s="33">
        <v>5030</v>
      </c>
      <c r="H14" s="35">
        <v>19.4</v>
      </c>
      <c r="I14" s="35">
        <v>19.7</v>
      </c>
    </row>
    <row r="15" ht="18" spans="1:9">
      <c r="A15" s="11" t="s">
        <v>31</v>
      </c>
      <c r="B15" s="20">
        <v>8.254</v>
      </c>
      <c r="C15" s="5" t="s">
        <v>32</v>
      </c>
      <c r="D15" s="13">
        <v>1759.79999999999</v>
      </c>
      <c r="E15" s="33">
        <f t="shared" si="0"/>
        <v>56064.38</v>
      </c>
      <c r="F15" s="33">
        <f t="shared" si="1"/>
        <v>57573.38</v>
      </c>
      <c r="G15" s="33">
        <v>5030</v>
      </c>
      <c r="H15" s="35">
        <v>19.4</v>
      </c>
      <c r="I15" s="35">
        <v>19.7</v>
      </c>
    </row>
    <row r="16" ht="106" spans="1:9">
      <c r="A16" s="18" t="s">
        <v>33</v>
      </c>
      <c r="B16" s="21">
        <v>13.271</v>
      </c>
      <c r="C16" s="5" t="s">
        <v>12</v>
      </c>
      <c r="D16" s="13">
        <v>2197.23599999999</v>
      </c>
      <c r="E16" s="33">
        <f t="shared" si="0"/>
        <v>29822.87</v>
      </c>
      <c r="F16" s="33">
        <f t="shared" si="1"/>
        <v>32337.87</v>
      </c>
      <c r="G16" s="33">
        <v>5030</v>
      </c>
      <c r="H16" s="35">
        <v>19.2</v>
      </c>
      <c r="I16" s="35">
        <v>19.7</v>
      </c>
    </row>
    <row r="17" ht="71" spans="1:9">
      <c r="A17" s="11" t="s">
        <v>34</v>
      </c>
      <c r="B17" s="21">
        <v>0.491</v>
      </c>
      <c r="C17" s="5" t="s">
        <v>35</v>
      </c>
      <c r="D17" s="13">
        <v>59792.976</v>
      </c>
      <c r="E17" s="33">
        <f t="shared" si="0"/>
        <v>94106.27</v>
      </c>
      <c r="F17" s="33">
        <f t="shared" si="1"/>
        <v>96621.27</v>
      </c>
      <c r="G17" s="33">
        <v>5030</v>
      </c>
      <c r="H17" s="35">
        <v>19.2</v>
      </c>
      <c r="I17" s="35">
        <v>19.7</v>
      </c>
    </row>
    <row r="18" ht="53" spans="1:9">
      <c r="A18" s="22" t="s">
        <v>36</v>
      </c>
      <c r="B18" s="23">
        <v>8.954</v>
      </c>
      <c r="C18" s="5" t="s">
        <v>37</v>
      </c>
      <c r="D18" s="13">
        <v>17779.008</v>
      </c>
      <c r="E18" s="33">
        <f t="shared" si="0"/>
        <v>51537.38</v>
      </c>
      <c r="F18" s="33">
        <f t="shared" si="1"/>
        <v>54052.38</v>
      </c>
      <c r="G18" s="33">
        <v>5030</v>
      </c>
      <c r="H18" s="35">
        <v>19.2</v>
      </c>
      <c r="I18" s="35">
        <v>19.7</v>
      </c>
    </row>
    <row r="19" ht="36" spans="1:9">
      <c r="A19" s="18" t="s">
        <v>38</v>
      </c>
      <c r="B19" s="24">
        <v>2.511</v>
      </c>
      <c r="C19" s="5" t="s">
        <v>39</v>
      </c>
      <c r="D19" s="13">
        <v>4128.786</v>
      </c>
      <c r="E19" s="33">
        <f t="shared" si="0"/>
        <v>39250.314</v>
      </c>
      <c r="F19" s="33">
        <f t="shared" si="1"/>
        <v>41793.714</v>
      </c>
      <c r="G19" s="36">
        <v>2826</v>
      </c>
      <c r="H19" s="35">
        <v>16.4</v>
      </c>
      <c r="I19" s="35">
        <v>17.3</v>
      </c>
    </row>
    <row r="20" ht="106" spans="1:9">
      <c r="A20" s="14" t="s">
        <v>40</v>
      </c>
      <c r="B20" s="23">
        <v>9.696</v>
      </c>
      <c r="C20" s="5" t="s">
        <v>39</v>
      </c>
      <c r="D20" s="13">
        <v>853.451999999999</v>
      </c>
      <c r="E20" s="33">
        <f t="shared" si="0"/>
        <v>18945.504</v>
      </c>
      <c r="F20" s="33">
        <f t="shared" si="1"/>
        <v>21488.904</v>
      </c>
      <c r="G20" s="33">
        <v>2826</v>
      </c>
      <c r="H20" s="34">
        <v>16.4</v>
      </c>
      <c r="I20" s="34">
        <v>17.3</v>
      </c>
    </row>
    <row r="21" ht="106" spans="1:9">
      <c r="A21" s="25" t="s">
        <v>41</v>
      </c>
      <c r="B21" s="12">
        <v>2.7</v>
      </c>
      <c r="C21" s="5" t="s">
        <v>42</v>
      </c>
      <c r="D21" s="13">
        <v>101.735999999994</v>
      </c>
      <c r="E21" s="33">
        <f t="shared" si="0"/>
        <v>38716.2</v>
      </c>
      <c r="F21" s="33">
        <f t="shared" si="1"/>
        <v>41259.6</v>
      </c>
      <c r="G21" s="33">
        <v>2826</v>
      </c>
      <c r="H21" s="34">
        <v>16.4</v>
      </c>
      <c r="I21" s="34">
        <v>17.3</v>
      </c>
    </row>
    <row r="22" ht="53" spans="1:9">
      <c r="A22" s="11" t="s">
        <v>43</v>
      </c>
      <c r="B22" s="21">
        <v>9.658</v>
      </c>
      <c r="C22" s="5" t="s">
        <v>19</v>
      </c>
      <c r="D22" s="13">
        <v>146.951999999999</v>
      </c>
      <c r="E22" s="33">
        <f t="shared" si="0"/>
        <v>19052.892</v>
      </c>
      <c r="F22" s="33">
        <f t="shared" si="1"/>
        <v>21596.292</v>
      </c>
      <c r="G22" s="33">
        <v>2826</v>
      </c>
      <c r="H22" s="34">
        <v>16.4</v>
      </c>
      <c r="I22" s="34">
        <v>17.3</v>
      </c>
    </row>
    <row r="23" ht="36" spans="1:9">
      <c r="A23" s="14" t="s">
        <v>44</v>
      </c>
      <c r="B23" s="26">
        <v>18.805</v>
      </c>
      <c r="C23" s="5" t="s">
        <v>10</v>
      </c>
      <c r="D23" s="13">
        <v>259</v>
      </c>
      <c r="E23" s="33">
        <f t="shared" si="0"/>
        <v>198.51</v>
      </c>
      <c r="F23" s="33">
        <f t="shared" si="1"/>
        <v>707.51</v>
      </c>
      <c r="G23" s="33">
        <v>1018</v>
      </c>
      <c r="H23" s="34">
        <v>19</v>
      </c>
      <c r="I23" s="34">
        <v>19.5</v>
      </c>
    </row>
    <row r="24" ht="36" spans="1:9">
      <c r="A24" s="18" t="s">
        <v>45</v>
      </c>
      <c r="B24" s="21">
        <v>18.734</v>
      </c>
      <c r="C24" s="5" t="s">
        <v>46</v>
      </c>
      <c r="D24" s="13">
        <v>195</v>
      </c>
      <c r="E24" s="33">
        <f t="shared" si="0"/>
        <v>270.787999999998</v>
      </c>
      <c r="F24" s="33">
        <f t="shared" si="1"/>
        <v>779.787999999998</v>
      </c>
      <c r="G24" s="33">
        <v>1018</v>
      </c>
      <c r="H24" s="34">
        <v>19</v>
      </c>
      <c r="I24" s="34">
        <v>19.5</v>
      </c>
    </row>
    <row r="25" ht="36" spans="1:9">
      <c r="A25" s="18" t="s">
        <v>47</v>
      </c>
      <c r="B25" s="26">
        <v>2.309</v>
      </c>
      <c r="C25" s="5" t="s">
        <v>39</v>
      </c>
      <c r="D25" s="13">
        <v>689</v>
      </c>
      <c r="E25" s="33">
        <f t="shared" si="0"/>
        <v>16991.438</v>
      </c>
      <c r="F25" s="33">
        <f t="shared" si="1"/>
        <v>17500.438</v>
      </c>
      <c r="G25" s="33">
        <v>1018</v>
      </c>
      <c r="H25" s="34">
        <v>19</v>
      </c>
      <c r="I25" s="34">
        <v>19.5</v>
      </c>
    </row>
    <row r="26" ht="71" spans="1:9">
      <c r="A26" s="18" t="s">
        <v>48</v>
      </c>
      <c r="B26" s="21">
        <v>2.346</v>
      </c>
      <c r="C26" s="5" t="s">
        <v>21</v>
      </c>
      <c r="D26" s="13">
        <v>5724</v>
      </c>
      <c r="E26" s="33">
        <f t="shared" si="0"/>
        <v>16953.772</v>
      </c>
      <c r="F26" s="33">
        <f t="shared" si="1"/>
        <v>17462.772</v>
      </c>
      <c r="G26" s="33">
        <v>1018</v>
      </c>
      <c r="H26" s="34">
        <v>19</v>
      </c>
      <c r="I26" s="34">
        <v>19.5</v>
      </c>
    </row>
    <row r="27" ht="18" spans="1:9">
      <c r="A27" s="18" t="s">
        <v>49</v>
      </c>
      <c r="B27" s="26">
        <v>2.287</v>
      </c>
      <c r="C27" s="5" t="s">
        <v>21</v>
      </c>
      <c r="D27" s="13">
        <v>292.000000000002</v>
      </c>
      <c r="E27" s="33">
        <f t="shared" si="0"/>
        <v>17013.834</v>
      </c>
      <c r="F27" s="33">
        <f t="shared" si="1"/>
        <v>17522.834</v>
      </c>
      <c r="G27" s="33">
        <v>1018</v>
      </c>
      <c r="H27" s="34">
        <v>19</v>
      </c>
      <c r="I27" s="34">
        <v>19.5</v>
      </c>
    </row>
    <row r="28" ht="36" spans="1:9">
      <c r="A28" s="18" t="s">
        <v>50</v>
      </c>
      <c r="B28" s="21">
        <v>18.821</v>
      </c>
      <c r="C28" s="5" t="s">
        <v>10</v>
      </c>
      <c r="D28" s="13">
        <v>16699</v>
      </c>
      <c r="E28" s="33">
        <f t="shared" si="0"/>
        <v>-1650.178</v>
      </c>
      <c r="F28" s="33">
        <f t="shared" si="1"/>
        <v>691.221999999999</v>
      </c>
      <c r="G28" s="33">
        <v>1018</v>
      </c>
      <c r="H28" s="34">
        <v>17.2</v>
      </c>
      <c r="I28" s="34">
        <v>19.5</v>
      </c>
    </row>
    <row r="29" ht="18" spans="1:9">
      <c r="A29" s="18" t="s">
        <v>51</v>
      </c>
      <c r="B29" s="21">
        <v>7.217</v>
      </c>
      <c r="C29" s="5" t="s">
        <v>12</v>
      </c>
      <c r="D29" s="13">
        <v>23678.93</v>
      </c>
      <c r="E29" s="33">
        <f t="shared" si="0"/>
        <v>16601.729</v>
      </c>
      <c r="F29" s="33">
        <f t="shared" si="1"/>
        <v>20426.629</v>
      </c>
      <c r="G29" s="33">
        <v>1663</v>
      </c>
      <c r="H29" s="34">
        <v>17.2</v>
      </c>
      <c r="I29" s="34">
        <v>19.5</v>
      </c>
    </row>
    <row r="30" ht="18" spans="1:9">
      <c r="A30" s="18" t="s">
        <v>52</v>
      </c>
      <c r="B30" s="21">
        <v>7.155</v>
      </c>
      <c r="C30" s="5" t="s">
        <v>12</v>
      </c>
      <c r="D30" s="13">
        <v>327.319999999997</v>
      </c>
      <c r="E30" s="33">
        <f t="shared" si="0"/>
        <v>16704.835</v>
      </c>
      <c r="F30" s="33">
        <f t="shared" si="1"/>
        <v>20529.735</v>
      </c>
      <c r="G30" s="33">
        <v>1663</v>
      </c>
      <c r="H30" s="34">
        <v>17.2</v>
      </c>
      <c r="I30" s="34">
        <v>19.5</v>
      </c>
    </row>
    <row r="31" ht="36" spans="1:9">
      <c r="A31" s="18" t="s">
        <v>53</v>
      </c>
      <c r="B31" s="21">
        <v>16.833</v>
      </c>
      <c r="C31" s="5" t="s">
        <v>17</v>
      </c>
      <c r="D31" s="13">
        <v>344.019999999999</v>
      </c>
      <c r="E31" s="33">
        <f t="shared" si="0"/>
        <v>1940.721</v>
      </c>
      <c r="F31" s="33">
        <f t="shared" si="1"/>
        <v>2605.921</v>
      </c>
      <c r="G31" s="33">
        <v>1663</v>
      </c>
      <c r="H31" s="34">
        <v>18</v>
      </c>
      <c r="I31" s="34">
        <v>18.4</v>
      </c>
    </row>
    <row r="32" ht="18" spans="1:9">
      <c r="A32" s="18" t="s">
        <v>54</v>
      </c>
      <c r="B32" s="21">
        <v>5.401</v>
      </c>
      <c r="C32" s="5" t="s">
        <v>12</v>
      </c>
      <c r="D32" s="13">
        <v>323.979999999998</v>
      </c>
      <c r="E32" s="33">
        <f t="shared" si="0"/>
        <v>20914.34</v>
      </c>
      <c r="F32" s="33">
        <f t="shared" si="1"/>
        <v>21578.34</v>
      </c>
      <c r="G32" s="33">
        <v>1660</v>
      </c>
      <c r="H32" s="34">
        <v>18</v>
      </c>
      <c r="I32" s="34">
        <v>18.4</v>
      </c>
    </row>
    <row r="33" ht="18" spans="1:9">
      <c r="A33" s="18" t="s">
        <v>55</v>
      </c>
      <c r="B33" s="27">
        <v>5.64</v>
      </c>
      <c r="C33" s="5" t="s">
        <v>12</v>
      </c>
      <c r="D33" s="13">
        <v>197.059999999998</v>
      </c>
      <c r="E33" s="33">
        <f t="shared" si="0"/>
        <v>20517.6</v>
      </c>
      <c r="F33" s="33">
        <f t="shared" si="1"/>
        <v>21181.6</v>
      </c>
      <c r="G33" s="33">
        <v>1660</v>
      </c>
      <c r="H33" s="34">
        <v>18</v>
      </c>
      <c r="I33" s="34">
        <v>18.4</v>
      </c>
    </row>
    <row r="34" ht="36" spans="1:9">
      <c r="A34" s="18" t="s">
        <v>56</v>
      </c>
      <c r="B34" s="21">
        <v>13.904</v>
      </c>
      <c r="C34" s="5" t="s">
        <v>17</v>
      </c>
      <c r="D34" s="13">
        <v>5641.26</v>
      </c>
      <c r="E34" s="33">
        <f t="shared" si="0"/>
        <v>6799.36</v>
      </c>
      <c r="F34" s="33">
        <f t="shared" si="1"/>
        <v>7463.36</v>
      </c>
      <c r="G34" s="33">
        <v>1660</v>
      </c>
      <c r="H34" s="34">
        <v>18</v>
      </c>
      <c r="I34" s="34">
        <v>18.4</v>
      </c>
    </row>
    <row r="35" ht="36" spans="1:9">
      <c r="A35" s="28" t="s">
        <v>57</v>
      </c>
      <c r="B35" s="20">
        <v>11.682</v>
      </c>
      <c r="C35" s="5" t="s">
        <v>10</v>
      </c>
      <c r="D35" s="13">
        <v>161.990000000002</v>
      </c>
      <c r="E35" s="33">
        <f t="shared" si="0"/>
        <v>11981.88</v>
      </c>
      <c r="F35" s="33">
        <f t="shared" si="1"/>
        <v>12479.88</v>
      </c>
      <c r="G35" s="33">
        <v>1660</v>
      </c>
      <c r="H35" s="34">
        <v>18.9</v>
      </c>
      <c r="I35" s="34">
        <v>19.2</v>
      </c>
    </row>
    <row r="36" ht="71" spans="1:9">
      <c r="A36" s="14" t="s">
        <v>58</v>
      </c>
      <c r="B36" s="29">
        <v>18.619</v>
      </c>
      <c r="C36" s="9" t="s">
        <v>28</v>
      </c>
      <c r="D36" s="13">
        <v>2888.04</v>
      </c>
      <c r="E36" s="33">
        <f t="shared" si="0"/>
        <v>691.259999999997</v>
      </c>
      <c r="F36" s="33">
        <f t="shared" si="1"/>
        <v>1429.26</v>
      </c>
      <c r="G36" s="33">
        <v>2460</v>
      </c>
      <c r="H36" s="34">
        <v>18.9</v>
      </c>
      <c r="I36" s="34">
        <v>19.2</v>
      </c>
    </row>
    <row r="37" ht="18" spans="1:9">
      <c r="A37" s="7" t="s">
        <v>59</v>
      </c>
      <c r="B37" s="30">
        <v>11.271</v>
      </c>
      <c r="C37" s="5" t="s">
        <v>21</v>
      </c>
      <c r="D37" s="13">
        <v>-8646.9</v>
      </c>
      <c r="E37" s="33">
        <f t="shared" si="0"/>
        <v>18767.34</v>
      </c>
      <c r="F37" s="33">
        <f t="shared" si="1"/>
        <v>19505.34</v>
      </c>
      <c r="G37" s="33">
        <v>2460</v>
      </c>
      <c r="H37" s="34">
        <v>18.9</v>
      </c>
      <c r="I37" s="34">
        <v>19.2</v>
      </c>
    </row>
    <row r="38" ht="18" spans="1:9">
      <c r="A38" s="18" t="s">
        <v>60</v>
      </c>
      <c r="B38" s="29">
        <v>1.257</v>
      </c>
      <c r="C38" s="5" t="s">
        <v>12</v>
      </c>
      <c r="D38" s="13">
        <v>39812.64</v>
      </c>
      <c r="E38" s="33">
        <f t="shared" si="0"/>
        <v>43401.78</v>
      </c>
      <c r="F38" s="33">
        <f t="shared" si="1"/>
        <v>44139.78</v>
      </c>
      <c r="G38" s="33">
        <v>2460</v>
      </c>
      <c r="H38" s="34">
        <v>18.9</v>
      </c>
      <c r="I38" s="34">
        <v>19.2</v>
      </c>
    </row>
    <row r="39" ht="106" spans="1:9">
      <c r="A39" s="18" t="s">
        <v>61</v>
      </c>
      <c r="B39" s="29">
        <v>13.823</v>
      </c>
      <c r="C39" s="5" t="s">
        <v>62</v>
      </c>
      <c r="D39" s="13">
        <v>489.539999999995</v>
      </c>
      <c r="E39" s="33">
        <f t="shared" si="0"/>
        <v>12489.42</v>
      </c>
      <c r="F39" s="33">
        <f t="shared" si="1"/>
        <v>13227.42</v>
      </c>
      <c r="G39" s="33">
        <v>2460</v>
      </c>
      <c r="H39" s="34">
        <v>18.9</v>
      </c>
      <c r="I39" s="34">
        <v>19.2</v>
      </c>
    </row>
    <row r="40" ht="53" spans="1:9">
      <c r="A40" s="18" t="s">
        <v>63</v>
      </c>
      <c r="B40" s="26">
        <v>9.048</v>
      </c>
      <c r="C40" s="5" t="s">
        <v>28</v>
      </c>
      <c r="D40" s="13">
        <v>472.32</v>
      </c>
      <c r="E40" s="33">
        <f t="shared" si="0"/>
        <v>24235.92</v>
      </c>
      <c r="F40" s="33">
        <f t="shared" si="1"/>
        <v>24973.92</v>
      </c>
      <c r="G40" s="33">
        <v>2460</v>
      </c>
      <c r="H40" s="34">
        <v>18.9</v>
      </c>
      <c r="I40" s="34">
        <v>19.2</v>
      </c>
    </row>
    <row r="41" ht="18" spans="1:9">
      <c r="A41" s="31" t="s">
        <v>64</v>
      </c>
      <c r="B41" s="31">
        <v>15.791</v>
      </c>
      <c r="C41" s="25" t="s">
        <v>21</v>
      </c>
      <c r="D41" s="13">
        <v>484.619999999998</v>
      </c>
      <c r="E41" s="33">
        <f t="shared" si="0"/>
        <v>7648.14</v>
      </c>
      <c r="F41" s="33">
        <f t="shared" si="1"/>
        <v>8386.14</v>
      </c>
      <c r="G41" s="33">
        <v>2460</v>
      </c>
      <c r="H41" s="34">
        <v>18.9</v>
      </c>
      <c r="I41" s="34">
        <v>19.2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jiehuili</dc:creator>
  <cp:lastModifiedBy>李杰徽</cp:lastModifiedBy>
  <dcterms:created xsi:type="dcterms:W3CDTF">2025-11-19T14:17:32Z</dcterms:created>
  <dcterms:modified xsi:type="dcterms:W3CDTF">2025-11-19T14:22:01Z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201D213040DC7677FC601D69E8B38ED9_41</vt:lpwstr>
  </property>
  <property fmtid="{D5CDD505-2E9C-101B-9397-08002B2CF9AE}" pid="3" name="KSOProductBuildVer">
    <vt:lpwstr>2052-12.1.23141.23141</vt:lpwstr>
  </property>
</Properties>
</file>